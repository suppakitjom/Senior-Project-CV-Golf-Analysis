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"/>
    </mc:Choice>
  </mc:AlternateContent>
  <xr:revisionPtr revIDLastSave="0" documentId="13_ncr:1_{4FD09A08-A3C3-E942-8F78-F0D67EA8DC42}" xr6:coauthVersionLast="47" xr6:coauthVersionMax="47" xr10:uidLastSave="{00000000-0000-0000-0000-000000000000}"/>
  <bookViews>
    <workbookView xWindow="0" yWindow="760" windowWidth="30240" windowHeight="17180" xr2:uid="{179B03CE-6498-FE4F-B727-D8BCAE8C3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 s="1"/>
</calcChain>
</file>

<file path=xl/sharedStrings.xml><?xml version="1.0" encoding="utf-8"?>
<sst xmlns="http://schemas.openxmlformats.org/spreadsheetml/2006/main" count="35" uniqueCount="35">
  <si>
    <t>Test Run</t>
  </si>
  <si>
    <t>Video Key Frames</t>
  </si>
  <si>
    <t>Motion Capture Key Frames</t>
  </si>
  <si>
    <t>Jom1</t>
  </si>
  <si>
    <t>[0, 42, 47, 53, 60, 66, 70, 90]</t>
  </si>
  <si>
    <t>[0, 263, 283, 309, 322, 336, 345, 425]</t>
  </si>
  <si>
    <t>Number of Inconsistencies</t>
  </si>
  <si>
    <t>Jom2</t>
  </si>
  <si>
    <t>[0, 11, 17, 26, 34, 40, 44, 59]</t>
  </si>
  <si>
    <t>[0, 215, 239, 271, 295, 310, 320, 351]</t>
  </si>
  <si>
    <t>Jom3</t>
  </si>
  <si>
    <t>[0, 42, 48, 57, 61, 67, 70, 89]</t>
  </si>
  <si>
    <t>[0, 132, 162, 179, 217, 232, 240, 295]</t>
  </si>
  <si>
    <t>Jom4</t>
  </si>
  <si>
    <t>[0, 41, 48, 56, 61, 67, 71, 88]</t>
  </si>
  <si>
    <t>[0, 136, 162, 188, 217, 230, 241, 313]</t>
  </si>
  <si>
    <t>Jom5</t>
  </si>
  <si>
    <t>[0, 41, 47, 56, 61, 68, 71, 76]</t>
  </si>
  <si>
    <t>[0, 219, 241, 272, 290, 306, 319, 383]</t>
  </si>
  <si>
    <t>Punn1</t>
  </si>
  <si>
    <t>Punn2</t>
  </si>
  <si>
    <t>Punn3</t>
  </si>
  <si>
    <t>Punn4</t>
  </si>
  <si>
    <t>Punn5</t>
  </si>
  <si>
    <t>All Checks</t>
  </si>
  <si>
    <t xml:space="preserve"> [0, 14, 18, 27, 33, 39, 41, 63]</t>
  </si>
  <si>
    <t>[0, 135, 155, 187, 204, 219, 230, 301]</t>
  </si>
  <si>
    <t>[0, 204, 222, 251, 273, 290, 300, 390]</t>
  </si>
  <si>
    <t>[0, 164, 180, 204, 223, 238, 253, 334]</t>
  </si>
  <si>
    <t>[0, 168, 188, 215, 234, 247, 261, 328]</t>
  </si>
  <si>
    <t>[0, 218, 248, 278, 292, 307, 320, 392]</t>
  </si>
  <si>
    <t>[0, 12, 17, 25, 32, 35, 41, 65]</t>
  </si>
  <si>
    <t>[0, 12, 16, 26, 32, 37, 40, 64]</t>
  </si>
  <si>
    <t>[0, 14, 19, 27, 34, 39, 42, 60]</t>
  </si>
  <si>
    <t>[0, 12, 17, 28, 34, 40, 42, 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</si>
</sst>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0BDB-92F8-1546-9382-A28E4CB02C7A}">
  <dimension ref="A1:E13"/>
  <sheetViews>
    <sheetView tabSelected="1" zoomScale="200" workbookViewId="0">
      <selection activeCell="B11" sqref="B11"/>
    </sheetView>
  </sheetViews>
  <sheetFormatPr baseColWidth="10" defaultRowHeight="16" x14ac:dyDescent="0.2"/>
  <cols>
    <col min="2" max="2" width="23.33203125" bestFit="1" customWidth="1"/>
    <col min="3" max="3" width="30.5" bestFit="1" customWidth="1"/>
    <col min="4" max="4" width="22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24</v>
      </c>
    </row>
    <row r="2" spans="1:5" x14ac:dyDescent="0.2">
      <c r="A2" t="s">
        <v>3</v>
      </c>
      <c r="B2" t="s">
        <v>4</v>
      </c>
      <c r="C2" t="s">
        <v>5</v>
      </c>
      <c r="D2">
        <v>3</v>
      </c>
      <c r="E2">
        <v>21</v>
      </c>
    </row>
    <row r="3" spans="1:5" x14ac:dyDescent="0.2">
      <c r="A3" t="s">
        <v>7</v>
      </c>
      <c r="B3" t="s">
        <v>8</v>
      </c>
      <c r="C3" t="s">
        <v>9</v>
      </c>
      <c r="D3">
        <v>9</v>
      </c>
      <c r="E3">
        <v>21</v>
      </c>
    </row>
    <row r="4" spans="1:5" x14ac:dyDescent="0.2">
      <c r="A4" t="s">
        <v>10</v>
      </c>
      <c r="B4" t="s">
        <v>11</v>
      </c>
      <c r="C4" t="s">
        <v>12</v>
      </c>
      <c r="D4">
        <v>10</v>
      </c>
      <c r="E4">
        <v>21</v>
      </c>
    </row>
    <row r="5" spans="1:5" x14ac:dyDescent="0.2">
      <c r="A5" t="s">
        <v>13</v>
      </c>
      <c r="B5" t="s">
        <v>14</v>
      </c>
      <c r="C5" t="s">
        <v>15</v>
      </c>
      <c r="D5">
        <v>6</v>
      </c>
      <c r="E5">
        <v>21</v>
      </c>
    </row>
    <row r="6" spans="1:5" x14ac:dyDescent="0.2">
      <c r="A6" t="s">
        <v>16</v>
      </c>
      <c r="B6" t="s">
        <v>17</v>
      </c>
      <c r="C6" t="s">
        <v>18</v>
      </c>
      <c r="D6">
        <v>6</v>
      </c>
      <c r="E6">
        <v>21</v>
      </c>
    </row>
    <row r="7" spans="1:5" x14ac:dyDescent="0.2">
      <c r="A7" t="s">
        <v>19</v>
      </c>
      <c r="B7" t="s">
        <v>31</v>
      </c>
      <c r="C7" t="s">
        <v>26</v>
      </c>
      <c r="D7">
        <v>5</v>
      </c>
      <c r="E7">
        <v>21</v>
      </c>
    </row>
    <row r="8" spans="1:5" x14ac:dyDescent="0.2">
      <c r="A8" t="s">
        <v>20</v>
      </c>
      <c r="B8" t="s">
        <v>25</v>
      </c>
      <c r="C8" t="s">
        <v>27</v>
      </c>
      <c r="D8">
        <v>4</v>
      </c>
      <c r="E8">
        <v>21</v>
      </c>
    </row>
    <row r="9" spans="1:5" x14ac:dyDescent="0.2">
      <c r="A9" t="s">
        <v>21</v>
      </c>
      <c r="B9" t="s">
        <v>33</v>
      </c>
      <c r="C9" t="s">
        <v>28</v>
      </c>
      <c r="D9">
        <v>7</v>
      </c>
      <c r="E9">
        <v>21</v>
      </c>
    </row>
    <row r="10" spans="1:5" x14ac:dyDescent="0.2">
      <c r="A10" t="s">
        <v>22</v>
      </c>
      <c r="B10" t="s">
        <v>32</v>
      </c>
      <c r="C10" t="s">
        <v>29</v>
      </c>
      <c r="D10">
        <v>5</v>
      </c>
      <c r="E10">
        <v>21</v>
      </c>
    </row>
    <row r="11" spans="1:5" x14ac:dyDescent="0.2">
      <c r="A11" t="s">
        <v>23</v>
      </c>
      <c r="B11" t="s">
        <v>34</v>
      </c>
      <c r="C11" t="s">
        <v>30</v>
      </c>
      <c r="D11">
        <v>5</v>
      </c>
      <c r="E11">
        <v>21</v>
      </c>
    </row>
    <row r="13" spans="1:5" x14ac:dyDescent="0.2">
      <c r="D13">
        <f>SUM(D2:D11)/SUM(E2:E11)</f>
        <v>0.2857142857142857</v>
      </c>
      <c r="E13" s="2">
        <f>1-D13</f>
        <v>0.7142857142857143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8654c6b7-c72b-4967-843b-c5ede9d5407c}" enabled="1" method="Standard" siteId="{9fce0284-1a8c-4368-85b0-571bbad0d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Suppakit Laomahamek</dc:creator>
  <cp:lastModifiedBy>Suppakit Laomahamek</cp:lastModifiedBy>
  <dcterms:created xsi:type="dcterms:W3CDTF">2025-05-01T09:42:25Z</dcterms:created>
  <dcterms:modified xsi:type="dcterms:W3CDTF">2025-05-05T14:25:32Z</dcterms:modified>
</cp:coreProperties>
</file>